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a43b3b07da5442/MBA OD/YEAR 2/Data Analytics 2/"/>
    </mc:Choice>
  </mc:AlternateContent>
  <xr:revisionPtr revIDLastSave="0" documentId="8_{7F444B10-8A5F-4F46-AA54-81940C6B8001}" xr6:coauthVersionLast="47" xr6:coauthVersionMax="47" xr10:uidLastSave="{00000000-0000-0000-0000-000000000000}"/>
  <bookViews>
    <workbookView xWindow="0" yWindow="660" windowWidth="15140" windowHeight="17300" xr2:uid="{36CB3C74-8593-5147-9311-763902FBF5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01" i="1" l="1"/>
  <c r="I14" i="1"/>
  <c r="I3" i="1"/>
  <c r="I4" i="1"/>
  <c r="I5" i="1"/>
  <c r="I6" i="1"/>
  <c r="I7" i="1"/>
  <c r="I8" i="1"/>
  <c r="I9" i="1"/>
  <c r="I10" i="1"/>
  <c r="I11" i="1"/>
  <c r="I12" i="1"/>
  <c r="I13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2" i="1"/>
</calcChain>
</file>

<file path=xl/sharedStrings.xml><?xml version="1.0" encoding="utf-8"?>
<sst xmlns="http://schemas.openxmlformats.org/spreadsheetml/2006/main" count="510" uniqueCount="135">
  <si>
    <t>PO DATE</t>
  </si>
  <si>
    <t>PRODUCT/ITEM ID</t>
  </si>
  <si>
    <t>VENDOR </t>
  </si>
  <si>
    <t>SOURCE </t>
  </si>
  <si>
    <t>QUANTIY</t>
  </si>
  <si>
    <t>UNIT PRICE</t>
  </si>
  <si>
    <t>PLANNED DELIVERY DAYS </t>
  </si>
  <si>
    <t>DELIEVRY STATUS (ON-TIME/LATE)</t>
  </si>
  <si>
    <t>Towel</t>
  </si>
  <si>
    <t xml:space="preserve">Sewing machine </t>
  </si>
  <si>
    <t>Gas cooker</t>
  </si>
  <si>
    <t>Microwave</t>
  </si>
  <si>
    <t>Industrial Iron</t>
  </si>
  <si>
    <t>Valve</t>
  </si>
  <si>
    <t>steam Iron</t>
  </si>
  <si>
    <t>Shirt</t>
  </si>
  <si>
    <t>T Shirts</t>
  </si>
  <si>
    <t>Face Caps</t>
  </si>
  <si>
    <t>Hp Laptops</t>
  </si>
  <si>
    <t xml:space="preserve">Emboidery machine </t>
  </si>
  <si>
    <t>Jumbo Bags</t>
  </si>
  <si>
    <t>Cadmium battery</t>
  </si>
  <si>
    <t>Patient Beds</t>
  </si>
  <si>
    <t>Drip Stand</t>
  </si>
  <si>
    <t xml:space="preserve">Bedside Cabinet </t>
  </si>
  <si>
    <t>REVENUE</t>
  </si>
  <si>
    <t>Multiparameter Patient Monitor</t>
  </si>
  <si>
    <t>Thermal aray recorder</t>
  </si>
  <si>
    <t>Suction machine (Electric)</t>
  </si>
  <si>
    <t xml:space="preserve">Office chair </t>
  </si>
  <si>
    <t>Laptop</t>
  </si>
  <si>
    <t>Incubator</t>
  </si>
  <si>
    <t xml:space="preserve">Executive Class chair </t>
  </si>
  <si>
    <t>Panasonic 5200-Lumen Projector</t>
  </si>
  <si>
    <t>Electric Projector Screen</t>
  </si>
  <si>
    <t>HP Probook Laptop</t>
  </si>
  <si>
    <t>LG Smart TV</t>
  </si>
  <si>
    <t>Refrigerator (44L)</t>
  </si>
  <si>
    <t>Printer, Scanner and Copier</t>
  </si>
  <si>
    <t xml:space="preserve">Over-Bed Tables </t>
  </si>
  <si>
    <t xml:space="preserve">Bedhead Service System </t>
  </si>
  <si>
    <t>Infusion Pump</t>
  </si>
  <si>
    <t>Infusomat Space Line (Standard)</t>
  </si>
  <si>
    <t>Infusion Syringe Pump</t>
  </si>
  <si>
    <t>Large Fridge (145L)</t>
  </si>
  <si>
    <t>Sundila LED 43' TV</t>
  </si>
  <si>
    <t>Crash Cart</t>
  </si>
  <si>
    <t>Convertible Chairs</t>
  </si>
  <si>
    <t>Delivery Bed</t>
  </si>
  <si>
    <t>Fetal Doopler</t>
  </si>
  <si>
    <t xml:space="preserve">Angle Poise Lamp </t>
  </si>
  <si>
    <t>Nebulizer</t>
  </si>
  <si>
    <t>ITEM CATEGORY</t>
  </si>
  <si>
    <t>Local Supplier</t>
  </si>
  <si>
    <t>International Supplier</t>
  </si>
  <si>
    <t>Turkey</t>
  </si>
  <si>
    <t>Biolight USA</t>
  </si>
  <si>
    <t>Pandora, Greece</t>
  </si>
  <si>
    <t>Bbraun, Germany</t>
  </si>
  <si>
    <t>LG</t>
  </si>
  <si>
    <t>China</t>
  </si>
  <si>
    <t>Idumagbo 1</t>
  </si>
  <si>
    <t>ECG Machine</t>
  </si>
  <si>
    <t>Resuscitaire</t>
  </si>
  <si>
    <t>India</t>
  </si>
  <si>
    <t>Weighing Scale (adult)</t>
  </si>
  <si>
    <t>Seca, UK</t>
  </si>
  <si>
    <t xml:space="preserve">Height measure </t>
  </si>
  <si>
    <t>Neonatal Digital weighing scale</t>
  </si>
  <si>
    <t>Axiom, UK</t>
  </si>
  <si>
    <t>Wheel Chair (adult)</t>
  </si>
  <si>
    <t>Days Healthcare, UK</t>
  </si>
  <si>
    <t xml:space="preserve">Accoson, UK </t>
  </si>
  <si>
    <t xml:space="preserve">Office table </t>
  </si>
  <si>
    <t>Idumota</t>
  </si>
  <si>
    <t>UK</t>
  </si>
  <si>
    <t>Foldable Examination Couch</t>
  </si>
  <si>
    <t>Electric Examination Couch</t>
  </si>
  <si>
    <t>Promec, Turkey</t>
  </si>
  <si>
    <t>Pulse Oximeter</t>
  </si>
  <si>
    <t>Biolight, EU</t>
  </si>
  <si>
    <t>4D Ultrasound</t>
  </si>
  <si>
    <t>Edan, China</t>
  </si>
  <si>
    <t xml:space="preserve">2D Ultrasound </t>
  </si>
  <si>
    <t>Fujifilm, Japan</t>
  </si>
  <si>
    <t>Utility Trolley</t>
  </si>
  <si>
    <t>Promek, Turkey</t>
  </si>
  <si>
    <t>Patient Trolley</t>
  </si>
  <si>
    <t>Commed, Turkey</t>
  </si>
  <si>
    <t>Computer Village</t>
  </si>
  <si>
    <t xml:space="preserve">Industrial Washing Machine </t>
  </si>
  <si>
    <t xml:space="preserve">Wooden bed </t>
  </si>
  <si>
    <t>Vendor 1</t>
  </si>
  <si>
    <t xml:space="preserve">Conference room chairs </t>
  </si>
  <si>
    <t>Executive Chair</t>
  </si>
  <si>
    <t>Reception wait chairs</t>
  </si>
  <si>
    <t>Reception chairs</t>
  </si>
  <si>
    <t>Pillows</t>
  </si>
  <si>
    <t>Hisence 32' LED TV</t>
  </si>
  <si>
    <t>Fouani</t>
  </si>
  <si>
    <t>Mini sterilizer (semi automatic)</t>
  </si>
  <si>
    <t>Towel (Hand towel)</t>
  </si>
  <si>
    <t>Towel (Bath size)</t>
  </si>
  <si>
    <t xml:space="preserve">Lagos Island </t>
  </si>
  <si>
    <t>Trade fair</t>
  </si>
  <si>
    <t>US</t>
  </si>
  <si>
    <t>Hisense 1.5HP AC</t>
  </si>
  <si>
    <t>Alaba</t>
  </si>
  <si>
    <t>Hisense 2HP AC</t>
  </si>
  <si>
    <t>Hisense 5HP AC</t>
  </si>
  <si>
    <t>Hisense 310L Freezer</t>
  </si>
  <si>
    <t>Hisense 302L Fridge</t>
  </si>
  <si>
    <t xml:space="preserve">4' Air extractor </t>
  </si>
  <si>
    <t>Hp Desktop Computer</t>
  </si>
  <si>
    <t xml:space="preserve">Binatone Automatic Voltage Protector </t>
  </si>
  <si>
    <t>Binding machine (industrial)</t>
  </si>
  <si>
    <t>UPS 1.2 K VA (Bluegate)</t>
  </si>
  <si>
    <t>Photocopier MX B200</t>
  </si>
  <si>
    <t>Deskjet 2132 (3 in 1) Printer</t>
  </si>
  <si>
    <t xml:space="preserve">HP 80A black toner catridge </t>
  </si>
  <si>
    <t xml:space="preserve">Hp desktop computers with V21 monitor </t>
  </si>
  <si>
    <t xml:space="preserve">UPS 1.2KVA (make - crown) </t>
  </si>
  <si>
    <t>vendor 2</t>
  </si>
  <si>
    <t>Textile/Linen</t>
  </si>
  <si>
    <t>Skill Equipment</t>
  </si>
  <si>
    <t>HVAC</t>
  </si>
  <si>
    <t>Appliances</t>
  </si>
  <si>
    <t>Industrial Parts</t>
  </si>
  <si>
    <t>ICT</t>
  </si>
  <si>
    <t>Packaging</t>
  </si>
  <si>
    <t>Medical Equipments</t>
  </si>
  <si>
    <t>Furniture &amp; Fixtures</t>
  </si>
  <si>
    <t>Late</t>
  </si>
  <si>
    <t>On-time</t>
  </si>
  <si>
    <t>SphygmomaLatemeters (blood pressure monitor)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</si>
</sst>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]dd/mm/yyyy;@" x16r2:formatCode16="[$-en-NG,1]dd/mm/yyyy;@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FFFF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wrapText="1"/>
    </xf>
    <xf numFmtId="0" fontId="2" fillId="2" borderId="0" xfId="0" applyFont="1" applyFill="1" applyAlignment="1">
      <alignment horizontal="center" wrapText="1"/>
    </xf>
    <xf numFmtId="3" fontId="0" fillId="0" borderId="0" xfId="0" applyNumberFormat="1"/>
    <xf numFmtId="4" fontId="0" fillId="0" borderId="0" xfId="0" applyNumberFormat="1"/>
    <xf numFmtId="4" fontId="2" fillId="2" borderId="0" xfId="0" applyNumberFormat="1" applyFont="1" applyFill="1" applyAlignment="1">
      <alignment horizontal="center" wrapText="1"/>
    </xf>
    <xf numFmtId="43" fontId="0" fillId="0" borderId="0" xfId="1" applyFont="1"/>
    <xf numFmtId="0" fontId="2" fillId="2" borderId="0" xfId="0" applyFont="1" applyFill="1" applyAlignment="1">
      <alignment horizontal="left" wrapText="1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C9BDB-57A2-7649-839F-EF235F707D30}">
  <dimension ref="A1:L104"/>
  <sheetViews>
    <sheetView tabSelected="1" topLeftCell="A44" workbookViewId="0">
      <selection activeCell="K57" sqref="K57"/>
    </sheetView>
  </sheetViews>
  <sheetFormatPr baseColWidth="10" defaultRowHeight="16" x14ac:dyDescent="0.2"/>
  <cols>
    <col min="1" max="1" width="5.83203125" customWidth="1"/>
    <col min="2" max="2" width="10.83203125" style="9"/>
    <col min="3" max="3" width="38.6640625" customWidth="1"/>
    <col min="4" max="4" width="17.5" customWidth="1"/>
    <col min="5" max="5" width="18" customWidth="1"/>
    <col min="6" max="6" width="18.6640625" customWidth="1"/>
    <col min="7" max="7" width="11" customWidth="1"/>
    <col min="8" max="8" width="14" style="4" customWidth="1"/>
    <col min="9" max="9" width="16.33203125" customWidth="1"/>
    <col min="10" max="10" width="25" customWidth="1"/>
    <col min="11" max="11" width="29.1640625" customWidth="1"/>
    <col min="12" max="12" width="15.33203125" customWidth="1"/>
  </cols>
  <sheetData>
    <row r="1" spans="1:12" ht="27" customHeight="1" x14ac:dyDescent="0.2">
      <c r="B1" s="7" t="s">
        <v>0</v>
      </c>
      <c r="C1" s="2" t="s">
        <v>1</v>
      </c>
      <c r="D1" s="2" t="s">
        <v>52</v>
      </c>
      <c r="E1" s="2" t="s">
        <v>2</v>
      </c>
      <c r="F1" s="2" t="s">
        <v>3</v>
      </c>
      <c r="G1" s="2" t="s">
        <v>4</v>
      </c>
      <c r="H1" s="5" t="s">
        <v>5</v>
      </c>
      <c r="I1" s="2" t="s">
        <v>25</v>
      </c>
      <c r="J1" s="2" t="s">
        <v>6</v>
      </c>
      <c r="K1" s="2" t="s">
        <v>7</v>
      </c>
      <c r="L1" s="1"/>
    </row>
    <row r="2" spans="1:12" x14ac:dyDescent="0.2">
      <c r="A2">
        <v>1</v>
      </c>
      <c r="B2" s="8">
        <v>46003</v>
      </c>
      <c r="C2" t="s">
        <v>102</v>
      </c>
      <c r="D2" t="s">
        <v>123</v>
      </c>
      <c r="E2" t="s">
        <v>74</v>
      </c>
      <c r="F2" t="s">
        <v>53</v>
      </c>
      <c r="G2" s="3">
        <v>3500</v>
      </c>
      <c r="H2" s="4">
        <v>4500</v>
      </c>
      <c r="I2" s="6">
        <f>H2*G2</f>
        <v>15750000</v>
      </c>
      <c r="J2">
        <v>5</v>
      </c>
      <c r="K2" t="s">
        <v>132</v>
      </c>
    </row>
    <row r="3" spans="1:12" x14ac:dyDescent="0.2">
      <c r="A3">
        <v>2</v>
      </c>
      <c r="B3" s="8">
        <v>46003</v>
      </c>
      <c r="C3" t="s">
        <v>101</v>
      </c>
      <c r="D3" t="s">
        <v>123</v>
      </c>
      <c r="E3" t="s">
        <v>74</v>
      </c>
      <c r="F3" t="s">
        <v>53</v>
      </c>
      <c r="G3" s="3">
        <v>3500</v>
      </c>
      <c r="H3" s="4">
        <v>2500</v>
      </c>
      <c r="I3" s="6">
        <f t="shared" ref="I3:I66" si="0">H3*G3</f>
        <v>8750000</v>
      </c>
      <c r="J3">
        <v>5</v>
      </c>
      <c r="K3" t="s">
        <v>132</v>
      </c>
    </row>
    <row r="4" spans="1:12" x14ac:dyDescent="0.2">
      <c r="A4">
        <v>3</v>
      </c>
      <c r="B4" s="8">
        <v>45853</v>
      </c>
      <c r="C4" t="s">
        <v>9</v>
      </c>
      <c r="D4" t="s">
        <v>124</v>
      </c>
      <c r="E4" t="s">
        <v>74</v>
      </c>
      <c r="F4" t="s">
        <v>53</v>
      </c>
      <c r="G4">
        <v>100</v>
      </c>
      <c r="H4" s="4">
        <v>64700</v>
      </c>
      <c r="I4" s="6">
        <f t="shared" si="0"/>
        <v>6470000</v>
      </c>
      <c r="J4">
        <v>4</v>
      </c>
      <c r="K4" t="s">
        <v>133</v>
      </c>
    </row>
    <row r="5" spans="1:12" x14ac:dyDescent="0.2">
      <c r="A5">
        <v>4</v>
      </c>
      <c r="B5" s="8">
        <v>45853</v>
      </c>
      <c r="C5" t="s">
        <v>10</v>
      </c>
      <c r="D5" t="s">
        <v>126</v>
      </c>
      <c r="E5" t="s">
        <v>74</v>
      </c>
      <c r="F5" t="s">
        <v>53</v>
      </c>
      <c r="G5">
        <v>3</v>
      </c>
      <c r="H5" s="4">
        <v>170000</v>
      </c>
      <c r="I5" s="6">
        <f t="shared" si="0"/>
        <v>510000</v>
      </c>
      <c r="J5">
        <v>2</v>
      </c>
      <c r="K5" t="s">
        <v>133</v>
      </c>
    </row>
    <row r="6" spans="1:12" x14ac:dyDescent="0.2">
      <c r="A6">
        <v>5</v>
      </c>
      <c r="B6" s="8">
        <v>45853</v>
      </c>
      <c r="C6" t="s">
        <v>10</v>
      </c>
      <c r="D6" t="s">
        <v>126</v>
      </c>
      <c r="E6" t="s">
        <v>61</v>
      </c>
      <c r="F6" t="s">
        <v>53</v>
      </c>
      <c r="G6">
        <v>2</v>
      </c>
      <c r="H6" s="4">
        <v>168000</v>
      </c>
      <c r="I6" s="6">
        <f t="shared" si="0"/>
        <v>336000</v>
      </c>
      <c r="J6">
        <v>2</v>
      </c>
      <c r="K6" t="s">
        <v>133</v>
      </c>
    </row>
    <row r="7" spans="1:12" x14ac:dyDescent="0.2">
      <c r="A7">
        <v>6</v>
      </c>
      <c r="B7" s="8">
        <v>45853</v>
      </c>
      <c r="C7" t="s">
        <v>10</v>
      </c>
      <c r="D7" t="s">
        <v>126</v>
      </c>
      <c r="E7" t="s">
        <v>74</v>
      </c>
      <c r="F7" t="s">
        <v>53</v>
      </c>
      <c r="G7">
        <v>5</v>
      </c>
      <c r="H7" s="4">
        <v>168500</v>
      </c>
      <c r="I7" s="6">
        <f t="shared" si="0"/>
        <v>842500</v>
      </c>
      <c r="J7">
        <v>2</v>
      </c>
      <c r="K7" t="s">
        <v>133</v>
      </c>
    </row>
    <row r="8" spans="1:12" x14ac:dyDescent="0.2">
      <c r="A8">
        <v>7</v>
      </c>
      <c r="B8" s="8">
        <v>45853</v>
      </c>
      <c r="C8" t="s">
        <v>11</v>
      </c>
      <c r="D8" t="s">
        <v>126</v>
      </c>
      <c r="E8" t="s">
        <v>74</v>
      </c>
      <c r="F8" t="s">
        <v>53</v>
      </c>
      <c r="G8">
        <v>4</v>
      </c>
      <c r="H8" s="4">
        <v>26000</v>
      </c>
      <c r="I8" s="6">
        <f t="shared" si="0"/>
        <v>104000</v>
      </c>
      <c r="J8">
        <v>2</v>
      </c>
      <c r="K8" t="s">
        <v>133</v>
      </c>
    </row>
    <row r="9" spans="1:12" x14ac:dyDescent="0.2">
      <c r="A9">
        <v>8</v>
      </c>
      <c r="B9" s="8">
        <v>45877</v>
      </c>
      <c r="C9" t="s">
        <v>106</v>
      </c>
      <c r="D9" t="s">
        <v>125</v>
      </c>
      <c r="E9" t="s">
        <v>107</v>
      </c>
      <c r="F9" t="s">
        <v>53</v>
      </c>
      <c r="G9">
        <v>9</v>
      </c>
      <c r="H9" s="4">
        <v>439990</v>
      </c>
      <c r="I9" s="6">
        <f t="shared" si="0"/>
        <v>3959910</v>
      </c>
      <c r="J9">
        <v>5</v>
      </c>
      <c r="K9" t="s">
        <v>133</v>
      </c>
    </row>
    <row r="10" spans="1:12" x14ac:dyDescent="0.2">
      <c r="A10">
        <v>9</v>
      </c>
      <c r="B10" s="8">
        <v>45877</v>
      </c>
      <c r="C10" t="s">
        <v>108</v>
      </c>
      <c r="D10" t="s">
        <v>125</v>
      </c>
      <c r="E10" t="s">
        <v>107</v>
      </c>
      <c r="F10" t="s">
        <v>53</v>
      </c>
      <c r="G10">
        <v>8</v>
      </c>
      <c r="H10" s="4">
        <v>880000</v>
      </c>
      <c r="I10" s="6">
        <f t="shared" si="0"/>
        <v>7040000</v>
      </c>
      <c r="J10">
        <v>5</v>
      </c>
      <c r="K10" t="s">
        <v>133</v>
      </c>
    </row>
    <row r="11" spans="1:12" x14ac:dyDescent="0.2">
      <c r="A11">
        <v>10</v>
      </c>
      <c r="B11" s="8">
        <v>45877</v>
      </c>
      <c r="C11" t="s">
        <v>109</v>
      </c>
      <c r="D11" t="s">
        <v>125</v>
      </c>
      <c r="E11" t="s">
        <v>107</v>
      </c>
      <c r="F11" t="s">
        <v>53</v>
      </c>
      <c r="G11">
        <v>5</v>
      </c>
      <c r="H11" s="4">
        <v>1724000</v>
      </c>
      <c r="I11" s="6">
        <f t="shared" si="0"/>
        <v>8620000</v>
      </c>
      <c r="J11">
        <v>5</v>
      </c>
      <c r="K11" t="s">
        <v>133</v>
      </c>
    </row>
    <row r="12" spans="1:12" x14ac:dyDescent="0.2">
      <c r="A12">
        <v>11</v>
      </c>
      <c r="B12" s="8">
        <v>45877</v>
      </c>
      <c r="C12" t="s">
        <v>111</v>
      </c>
      <c r="D12" t="s">
        <v>125</v>
      </c>
      <c r="E12" t="s">
        <v>107</v>
      </c>
      <c r="F12" t="s">
        <v>53</v>
      </c>
      <c r="G12">
        <v>5</v>
      </c>
      <c r="H12" s="4">
        <v>1550000</v>
      </c>
      <c r="I12" s="6">
        <f t="shared" si="0"/>
        <v>7750000</v>
      </c>
      <c r="J12">
        <v>5</v>
      </c>
      <c r="K12" t="s">
        <v>133</v>
      </c>
    </row>
    <row r="13" spans="1:12" x14ac:dyDescent="0.2">
      <c r="A13">
        <v>12</v>
      </c>
      <c r="B13" s="8">
        <v>45877</v>
      </c>
      <c r="C13" t="s">
        <v>112</v>
      </c>
      <c r="D13" t="s">
        <v>125</v>
      </c>
      <c r="E13" t="s">
        <v>107</v>
      </c>
      <c r="F13" t="s">
        <v>53</v>
      </c>
      <c r="G13">
        <v>15</v>
      </c>
      <c r="H13" s="4">
        <v>22000</v>
      </c>
      <c r="I13" s="6">
        <f t="shared" si="0"/>
        <v>330000</v>
      </c>
      <c r="J13">
        <v>5</v>
      </c>
      <c r="K13" t="s">
        <v>133</v>
      </c>
    </row>
    <row r="14" spans="1:12" x14ac:dyDescent="0.2">
      <c r="A14">
        <v>13</v>
      </c>
      <c r="B14" s="8">
        <v>45877</v>
      </c>
      <c r="C14" t="s">
        <v>110</v>
      </c>
      <c r="D14" t="s">
        <v>126</v>
      </c>
      <c r="E14" t="s">
        <v>107</v>
      </c>
      <c r="F14" t="s">
        <v>53</v>
      </c>
      <c r="G14">
        <v>1</v>
      </c>
      <c r="H14" s="4">
        <v>310000</v>
      </c>
      <c r="I14" s="6">
        <f>H14*G14</f>
        <v>310000</v>
      </c>
      <c r="J14">
        <v>5</v>
      </c>
      <c r="K14" t="s">
        <v>133</v>
      </c>
    </row>
    <row r="15" spans="1:12" x14ac:dyDescent="0.2">
      <c r="A15">
        <v>14</v>
      </c>
      <c r="B15" s="8">
        <v>45779</v>
      </c>
      <c r="C15" t="s">
        <v>12</v>
      </c>
      <c r="D15" t="s">
        <v>124</v>
      </c>
      <c r="E15" t="s">
        <v>74</v>
      </c>
      <c r="F15" t="s">
        <v>53</v>
      </c>
      <c r="G15">
        <v>4</v>
      </c>
      <c r="H15" s="4">
        <v>210000</v>
      </c>
      <c r="I15" s="6">
        <f t="shared" si="0"/>
        <v>840000</v>
      </c>
      <c r="J15">
        <v>5</v>
      </c>
      <c r="K15" t="s">
        <v>133</v>
      </c>
    </row>
    <row r="16" spans="1:12" x14ac:dyDescent="0.2">
      <c r="A16">
        <v>15</v>
      </c>
      <c r="B16" s="8">
        <v>45794</v>
      </c>
      <c r="C16" t="s">
        <v>13</v>
      </c>
      <c r="D16" t="s">
        <v>127</v>
      </c>
      <c r="E16" t="s">
        <v>105</v>
      </c>
      <c r="F16" t="s">
        <v>54</v>
      </c>
      <c r="G16">
        <v>3</v>
      </c>
      <c r="H16" s="4">
        <v>185000</v>
      </c>
      <c r="I16" s="6">
        <f t="shared" si="0"/>
        <v>555000</v>
      </c>
      <c r="J16">
        <v>21</v>
      </c>
      <c r="K16" t="s">
        <v>133</v>
      </c>
    </row>
    <row r="17" spans="1:11" x14ac:dyDescent="0.2">
      <c r="A17">
        <v>16</v>
      </c>
      <c r="B17" s="8">
        <v>45794</v>
      </c>
      <c r="C17" t="s">
        <v>13</v>
      </c>
      <c r="D17" t="s">
        <v>127</v>
      </c>
      <c r="E17" t="s">
        <v>105</v>
      </c>
      <c r="F17" t="s">
        <v>54</v>
      </c>
      <c r="G17">
        <v>6</v>
      </c>
      <c r="H17" s="4">
        <v>120000</v>
      </c>
      <c r="I17" s="6">
        <f t="shared" si="0"/>
        <v>720000</v>
      </c>
      <c r="J17">
        <v>21</v>
      </c>
      <c r="K17" t="s">
        <v>133</v>
      </c>
    </row>
    <row r="18" spans="1:11" x14ac:dyDescent="0.2">
      <c r="A18">
        <v>17</v>
      </c>
      <c r="B18" s="8">
        <v>45794</v>
      </c>
      <c r="C18" t="s">
        <v>13</v>
      </c>
      <c r="D18" t="s">
        <v>127</v>
      </c>
      <c r="E18" t="s">
        <v>105</v>
      </c>
      <c r="F18" t="s">
        <v>54</v>
      </c>
      <c r="G18">
        <v>1</v>
      </c>
      <c r="H18" s="4">
        <v>275000</v>
      </c>
      <c r="I18" s="6">
        <f t="shared" si="0"/>
        <v>275000</v>
      </c>
      <c r="J18">
        <v>21</v>
      </c>
      <c r="K18" t="s">
        <v>133</v>
      </c>
    </row>
    <row r="19" spans="1:11" x14ac:dyDescent="0.2">
      <c r="A19">
        <v>18</v>
      </c>
      <c r="B19" s="8">
        <v>45662</v>
      </c>
      <c r="C19" t="s">
        <v>12</v>
      </c>
      <c r="D19" t="s">
        <v>124</v>
      </c>
      <c r="E19" t="s">
        <v>74</v>
      </c>
      <c r="F19" t="s">
        <v>53</v>
      </c>
      <c r="G19">
        <v>3</v>
      </c>
      <c r="H19" s="4">
        <v>129000</v>
      </c>
      <c r="I19" s="6">
        <f t="shared" si="0"/>
        <v>387000</v>
      </c>
      <c r="J19">
        <v>3</v>
      </c>
      <c r="K19" t="s">
        <v>133</v>
      </c>
    </row>
    <row r="20" spans="1:11" x14ac:dyDescent="0.2">
      <c r="A20">
        <v>19</v>
      </c>
      <c r="B20" s="8">
        <v>45662</v>
      </c>
      <c r="C20" t="s">
        <v>14</v>
      </c>
      <c r="D20" t="s">
        <v>124</v>
      </c>
      <c r="E20" t="s">
        <v>74</v>
      </c>
      <c r="F20" t="s">
        <v>53</v>
      </c>
      <c r="G20">
        <v>2</v>
      </c>
      <c r="H20" s="4">
        <v>22000</v>
      </c>
      <c r="I20" s="6">
        <f t="shared" si="0"/>
        <v>44000</v>
      </c>
      <c r="J20">
        <v>3</v>
      </c>
      <c r="K20" t="s">
        <v>133</v>
      </c>
    </row>
    <row r="21" spans="1:11" x14ac:dyDescent="0.2">
      <c r="A21">
        <v>20</v>
      </c>
      <c r="B21" s="8">
        <v>45662</v>
      </c>
      <c r="C21" t="s">
        <v>15</v>
      </c>
      <c r="D21" t="s">
        <v>123</v>
      </c>
      <c r="E21" t="s">
        <v>105</v>
      </c>
      <c r="F21" t="s">
        <v>54</v>
      </c>
      <c r="G21" s="3">
        <v>1100</v>
      </c>
      <c r="H21" s="4">
        <v>75000</v>
      </c>
      <c r="I21" s="6">
        <f t="shared" si="0"/>
        <v>82500000</v>
      </c>
      <c r="J21">
        <v>21</v>
      </c>
      <c r="K21" t="s">
        <v>132</v>
      </c>
    </row>
    <row r="22" spans="1:11" x14ac:dyDescent="0.2">
      <c r="A22">
        <v>21</v>
      </c>
      <c r="B22" s="8">
        <v>45941</v>
      </c>
      <c r="C22" t="s">
        <v>16</v>
      </c>
      <c r="D22" t="s">
        <v>123</v>
      </c>
      <c r="E22" t="s">
        <v>105</v>
      </c>
      <c r="F22" t="s">
        <v>54</v>
      </c>
      <c r="G22" s="3">
        <v>1100</v>
      </c>
      <c r="H22" s="4">
        <v>45000</v>
      </c>
      <c r="I22" s="6">
        <f t="shared" si="0"/>
        <v>49500000</v>
      </c>
      <c r="J22">
        <v>21</v>
      </c>
      <c r="K22" t="s">
        <v>132</v>
      </c>
    </row>
    <row r="23" spans="1:11" x14ac:dyDescent="0.2">
      <c r="A23">
        <v>22</v>
      </c>
      <c r="B23" s="8">
        <v>45941</v>
      </c>
      <c r="C23" t="s">
        <v>17</v>
      </c>
      <c r="D23" t="s">
        <v>123</v>
      </c>
      <c r="E23" t="s">
        <v>105</v>
      </c>
      <c r="F23" t="s">
        <v>54</v>
      </c>
      <c r="G23" s="3">
        <v>1100</v>
      </c>
      <c r="H23" s="4">
        <v>32000</v>
      </c>
      <c r="I23" s="6">
        <f t="shared" si="0"/>
        <v>35200000</v>
      </c>
      <c r="J23">
        <v>21</v>
      </c>
      <c r="K23" t="s">
        <v>132</v>
      </c>
    </row>
    <row r="24" spans="1:11" x14ac:dyDescent="0.2">
      <c r="A24">
        <v>23</v>
      </c>
      <c r="B24" s="8">
        <v>45941</v>
      </c>
      <c r="C24" t="s">
        <v>8</v>
      </c>
      <c r="D24" t="s">
        <v>123</v>
      </c>
      <c r="E24" t="s">
        <v>74</v>
      </c>
      <c r="F24" t="s">
        <v>53</v>
      </c>
      <c r="G24" s="3">
        <v>4500</v>
      </c>
      <c r="H24" s="4">
        <v>4400</v>
      </c>
      <c r="I24" s="6">
        <f t="shared" si="0"/>
        <v>19800000</v>
      </c>
      <c r="J24">
        <v>5</v>
      </c>
      <c r="K24" t="s">
        <v>133</v>
      </c>
    </row>
    <row r="25" spans="1:11" x14ac:dyDescent="0.2">
      <c r="A25">
        <v>24</v>
      </c>
      <c r="B25" s="8">
        <v>45974</v>
      </c>
      <c r="C25" t="s">
        <v>113</v>
      </c>
      <c r="D25" t="s">
        <v>128</v>
      </c>
      <c r="E25" t="s">
        <v>89</v>
      </c>
      <c r="F25" t="s">
        <v>53</v>
      </c>
      <c r="G25" s="3">
        <v>15</v>
      </c>
      <c r="H25" s="4">
        <v>210000</v>
      </c>
      <c r="I25" s="6">
        <f t="shared" si="0"/>
        <v>3150000</v>
      </c>
      <c r="J25">
        <v>3</v>
      </c>
      <c r="K25" t="s">
        <v>133</v>
      </c>
    </row>
    <row r="26" spans="1:11" x14ac:dyDescent="0.2">
      <c r="A26">
        <v>25</v>
      </c>
      <c r="B26" s="8">
        <v>45974</v>
      </c>
      <c r="C26" t="s">
        <v>114</v>
      </c>
      <c r="D26" t="s">
        <v>128</v>
      </c>
      <c r="E26" t="s">
        <v>89</v>
      </c>
      <c r="F26" t="s">
        <v>53</v>
      </c>
      <c r="G26" s="3">
        <v>15</v>
      </c>
      <c r="H26" s="4">
        <v>3500</v>
      </c>
      <c r="I26" s="6">
        <f t="shared" si="0"/>
        <v>52500</v>
      </c>
      <c r="J26">
        <v>3</v>
      </c>
      <c r="K26" t="s">
        <v>133</v>
      </c>
    </row>
    <row r="27" spans="1:11" x14ac:dyDescent="0.2">
      <c r="A27">
        <v>26</v>
      </c>
      <c r="B27" s="8">
        <v>45974</v>
      </c>
      <c r="C27" t="s">
        <v>115</v>
      </c>
      <c r="D27" t="s">
        <v>128</v>
      </c>
      <c r="E27" t="s">
        <v>89</v>
      </c>
      <c r="F27" t="s">
        <v>53</v>
      </c>
      <c r="G27" s="3">
        <v>2</v>
      </c>
      <c r="H27" s="4">
        <v>120000</v>
      </c>
      <c r="I27" s="6">
        <f t="shared" si="0"/>
        <v>240000</v>
      </c>
      <c r="J27">
        <v>3</v>
      </c>
      <c r="K27" t="s">
        <v>133</v>
      </c>
    </row>
    <row r="28" spans="1:11" x14ac:dyDescent="0.2">
      <c r="A28">
        <v>27</v>
      </c>
      <c r="B28" s="8">
        <v>45974</v>
      </c>
      <c r="C28" t="s">
        <v>116</v>
      </c>
      <c r="D28" t="s">
        <v>128</v>
      </c>
      <c r="E28" t="s">
        <v>89</v>
      </c>
      <c r="F28" t="s">
        <v>53</v>
      </c>
      <c r="G28" s="3">
        <v>15</v>
      </c>
      <c r="H28" s="4">
        <v>115000</v>
      </c>
      <c r="I28" s="6">
        <f t="shared" si="0"/>
        <v>1725000</v>
      </c>
      <c r="J28">
        <v>3</v>
      </c>
      <c r="K28" t="s">
        <v>133</v>
      </c>
    </row>
    <row r="29" spans="1:11" x14ac:dyDescent="0.2">
      <c r="A29">
        <v>28</v>
      </c>
      <c r="B29" s="8">
        <v>45974</v>
      </c>
      <c r="C29" t="s">
        <v>117</v>
      </c>
      <c r="D29" t="s">
        <v>128</v>
      </c>
      <c r="E29" t="s">
        <v>89</v>
      </c>
      <c r="F29" t="s">
        <v>53</v>
      </c>
      <c r="G29" s="3">
        <v>2</v>
      </c>
      <c r="H29" s="4">
        <v>423000</v>
      </c>
      <c r="I29" s="6">
        <f t="shared" si="0"/>
        <v>846000</v>
      </c>
      <c r="J29">
        <v>3</v>
      </c>
      <c r="K29" t="s">
        <v>133</v>
      </c>
    </row>
    <row r="30" spans="1:11" x14ac:dyDescent="0.2">
      <c r="A30">
        <v>29</v>
      </c>
      <c r="B30" s="8">
        <v>45974</v>
      </c>
      <c r="C30" t="s">
        <v>118</v>
      </c>
      <c r="D30" t="s">
        <v>128</v>
      </c>
      <c r="E30" t="s">
        <v>61</v>
      </c>
      <c r="F30" t="s">
        <v>53</v>
      </c>
      <c r="G30" s="3">
        <v>2</v>
      </c>
      <c r="H30" s="4">
        <v>75000</v>
      </c>
      <c r="I30" s="6">
        <f t="shared" si="0"/>
        <v>150000</v>
      </c>
      <c r="J30">
        <v>3</v>
      </c>
      <c r="K30" t="s">
        <v>133</v>
      </c>
    </row>
    <row r="31" spans="1:11" x14ac:dyDescent="0.2">
      <c r="A31">
        <v>30</v>
      </c>
      <c r="B31" s="8">
        <v>45974</v>
      </c>
      <c r="C31" t="s">
        <v>119</v>
      </c>
      <c r="D31" t="s">
        <v>128</v>
      </c>
      <c r="E31" t="s">
        <v>61</v>
      </c>
      <c r="F31" t="s">
        <v>53</v>
      </c>
      <c r="G31" s="3">
        <v>2</v>
      </c>
      <c r="H31" s="4">
        <v>44500</v>
      </c>
      <c r="I31" s="6">
        <f t="shared" si="0"/>
        <v>89000</v>
      </c>
      <c r="J31">
        <v>3</v>
      </c>
      <c r="K31" t="s">
        <v>133</v>
      </c>
    </row>
    <row r="32" spans="1:11" x14ac:dyDescent="0.2">
      <c r="A32">
        <v>31</v>
      </c>
      <c r="B32" s="8">
        <v>45974</v>
      </c>
      <c r="C32" t="s">
        <v>120</v>
      </c>
      <c r="D32" t="s">
        <v>128</v>
      </c>
      <c r="E32" t="s">
        <v>89</v>
      </c>
      <c r="F32" t="s">
        <v>53</v>
      </c>
      <c r="G32" s="3">
        <v>15</v>
      </c>
      <c r="H32" s="4">
        <v>381000</v>
      </c>
      <c r="I32" s="6">
        <f t="shared" si="0"/>
        <v>5715000</v>
      </c>
      <c r="J32">
        <v>3</v>
      </c>
      <c r="K32" t="s">
        <v>133</v>
      </c>
    </row>
    <row r="33" spans="1:11" x14ac:dyDescent="0.2">
      <c r="A33">
        <v>32</v>
      </c>
      <c r="B33" s="8">
        <v>45974</v>
      </c>
      <c r="C33" t="s">
        <v>121</v>
      </c>
      <c r="D33" t="s">
        <v>128</v>
      </c>
      <c r="E33" t="s">
        <v>89</v>
      </c>
      <c r="F33" t="s">
        <v>53</v>
      </c>
      <c r="G33" s="3">
        <v>15</v>
      </c>
      <c r="H33" s="4">
        <v>77000</v>
      </c>
      <c r="I33" s="6">
        <f t="shared" si="0"/>
        <v>1155000</v>
      </c>
      <c r="J33">
        <v>3</v>
      </c>
      <c r="K33" t="s">
        <v>133</v>
      </c>
    </row>
    <row r="34" spans="1:11" x14ac:dyDescent="0.2">
      <c r="A34">
        <v>33</v>
      </c>
      <c r="B34" s="8">
        <v>45974</v>
      </c>
      <c r="C34" t="s">
        <v>19</v>
      </c>
      <c r="D34" t="s">
        <v>124</v>
      </c>
      <c r="E34" t="s">
        <v>74</v>
      </c>
      <c r="F34" t="s">
        <v>53</v>
      </c>
      <c r="G34" s="3">
        <v>2</v>
      </c>
      <c r="H34" s="4">
        <v>875000</v>
      </c>
      <c r="I34" s="6">
        <f t="shared" si="0"/>
        <v>1750000</v>
      </c>
      <c r="J34">
        <v>2</v>
      </c>
      <c r="K34" t="s">
        <v>133</v>
      </c>
    </row>
    <row r="35" spans="1:11" x14ac:dyDescent="0.2">
      <c r="A35">
        <v>34</v>
      </c>
      <c r="B35" s="8">
        <v>45974</v>
      </c>
      <c r="C35" t="s">
        <v>20</v>
      </c>
      <c r="D35" t="s">
        <v>129</v>
      </c>
      <c r="E35" t="s">
        <v>74</v>
      </c>
      <c r="F35" t="s">
        <v>53</v>
      </c>
      <c r="G35" s="3">
        <v>4500</v>
      </c>
      <c r="H35" s="4">
        <v>5100</v>
      </c>
      <c r="I35" s="6">
        <f t="shared" si="0"/>
        <v>22950000</v>
      </c>
      <c r="J35">
        <v>5</v>
      </c>
      <c r="K35" t="s">
        <v>132</v>
      </c>
    </row>
    <row r="36" spans="1:11" x14ac:dyDescent="0.2">
      <c r="A36">
        <v>35</v>
      </c>
      <c r="B36" s="8">
        <v>45974</v>
      </c>
      <c r="C36" t="s">
        <v>20</v>
      </c>
      <c r="D36" t="s">
        <v>129</v>
      </c>
      <c r="E36" t="s">
        <v>104</v>
      </c>
      <c r="F36" t="s">
        <v>53</v>
      </c>
      <c r="G36" s="3">
        <v>1500</v>
      </c>
      <c r="H36" s="4">
        <v>4000</v>
      </c>
      <c r="I36" s="6">
        <f t="shared" si="0"/>
        <v>6000000</v>
      </c>
      <c r="J36">
        <v>5</v>
      </c>
      <c r="K36" t="s">
        <v>132</v>
      </c>
    </row>
    <row r="37" spans="1:11" x14ac:dyDescent="0.2">
      <c r="A37">
        <v>36</v>
      </c>
      <c r="B37" s="8">
        <v>45974</v>
      </c>
      <c r="C37" t="s">
        <v>20</v>
      </c>
      <c r="D37" t="s">
        <v>129</v>
      </c>
      <c r="E37" t="s">
        <v>103</v>
      </c>
      <c r="F37" t="s">
        <v>53</v>
      </c>
      <c r="G37" s="3">
        <v>3000</v>
      </c>
      <c r="H37" s="4">
        <v>3500</v>
      </c>
      <c r="I37" s="6">
        <f t="shared" si="0"/>
        <v>10500000</v>
      </c>
      <c r="J37">
        <v>5</v>
      </c>
      <c r="K37" t="s">
        <v>132</v>
      </c>
    </row>
    <row r="38" spans="1:11" x14ac:dyDescent="0.2">
      <c r="A38">
        <v>37</v>
      </c>
      <c r="B38" s="8">
        <v>44225</v>
      </c>
      <c r="C38" t="s">
        <v>21</v>
      </c>
      <c r="D38" t="s">
        <v>127</v>
      </c>
      <c r="E38" t="s">
        <v>105</v>
      </c>
      <c r="F38" t="s">
        <v>54</v>
      </c>
      <c r="G38">
        <v>1</v>
      </c>
      <c r="H38" s="4">
        <v>17980</v>
      </c>
      <c r="I38" s="6">
        <f t="shared" si="0"/>
        <v>17980</v>
      </c>
      <c r="J38">
        <v>21</v>
      </c>
      <c r="K38" t="s">
        <v>133</v>
      </c>
    </row>
    <row r="39" spans="1:11" x14ac:dyDescent="0.2">
      <c r="A39">
        <v>38</v>
      </c>
      <c r="B39" s="8">
        <v>45554</v>
      </c>
      <c r="C39" t="s">
        <v>22</v>
      </c>
      <c r="D39" t="s">
        <v>130</v>
      </c>
      <c r="E39" t="s">
        <v>55</v>
      </c>
      <c r="F39" t="s">
        <v>54</v>
      </c>
      <c r="G39">
        <v>20</v>
      </c>
      <c r="H39" s="4">
        <v>1872340.43</v>
      </c>
      <c r="I39" s="6">
        <f t="shared" si="0"/>
        <v>37446808.600000001</v>
      </c>
      <c r="J39">
        <v>21</v>
      </c>
      <c r="K39" t="s">
        <v>132</v>
      </c>
    </row>
    <row r="40" spans="1:11" x14ac:dyDescent="0.2">
      <c r="A40">
        <v>39</v>
      </c>
      <c r="B40" s="8">
        <v>45554</v>
      </c>
      <c r="C40" t="s">
        <v>23</v>
      </c>
      <c r="D40" t="s">
        <v>130</v>
      </c>
      <c r="E40" t="s">
        <v>55</v>
      </c>
      <c r="F40" t="s">
        <v>54</v>
      </c>
      <c r="G40">
        <v>20</v>
      </c>
      <c r="H40" s="4">
        <v>210680.85</v>
      </c>
      <c r="I40" s="6">
        <f t="shared" si="0"/>
        <v>4213617</v>
      </c>
      <c r="J40">
        <v>21</v>
      </c>
      <c r="K40" t="s">
        <v>132</v>
      </c>
    </row>
    <row r="41" spans="1:11" x14ac:dyDescent="0.2">
      <c r="A41">
        <v>40</v>
      </c>
      <c r="B41" s="8">
        <v>45554</v>
      </c>
      <c r="C41" t="s">
        <v>24</v>
      </c>
      <c r="D41" t="s">
        <v>130</v>
      </c>
      <c r="E41" t="s">
        <v>55</v>
      </c>
      <c r="F41" t="s">
        <v>53</v>
      </c>
      <c r="G41">
        <v>20</v>
      </c>
      <c r="H41" s="4">
        <v>390070.92</v>
      </c>
      <c r="I41" s="6">
        <f t="shared" si="0"/>
        <v>7801418.3999999994</v>
      </c>
      <c r="J41">
        <v>21</v>
      </c>
      <c r="K41" t="s">
        <v>132</v>
      </c>
    </row>
    <row r="42" spans="1:11" x14ac:dyDescent="0.2">
      <c r="A42">
        <v>41</v>
      </c>
      <c r="B42" s="8">
        <v>45554</v>
      </c>
      <c r="C42" t="s">
        <v>26</v>
      </c>
      <c r="D42" t="s">
        <v>130</v>
      </c>
      <c r="E42" t="s">
        <v>56</v>
      </c>
      <c r="F42" t="s">
        <v>54</v>
      </c>
      <c r="G42">
        <v>20</v>
      </c>
      <c r="H42" s="4">
        <v>4179775.28</v>
      </c>
      <c r="I42" s="6">
        <f t="shared" si="0"/>
        <v>83595505.599999994</v>
      </c>
      <c r="J42">
        <v>21</v>
      </c>
      <c r="K42" t="s">
        <v>132</v>
      </c>
    </row>
    <row r="43" spans="1:11" x14ac:dyDescent="0.2">
      <c r="A43">
        <v>42</v>
      </c>
      <c r="B43" s="8">
        <v>45554</v>
      </c>
      <c r="C43" t="s">
        <v>27</v>
      </c>
      <c r="D43" t="s">
        <v>130</v>
      </c>
      <c r="E43" t="s">
        <v>56</v>
      </c>
      <c r="F43" t="s">
        <v>54</v>
      </c>
      <c r="G43">
        <v>20</v>
      </c>
      <c r="H43" s="4">
        <v>319148.94</v>
      </c>
      <c r="I43" s="6">
        <f t="shared" si="0"/>
        <v>6382978.7999999998</v>
      </c>
      <c r="J43">
        <v>21</v>
      </c>
      <c r="K43" t="s">
        <v>132</v>
      </c>
    </row>
    <row r="44" spans="1:11" x14ac:dyDescent="0.2">
      <c r="A44">
        <v>43</v>
      </c>
      <c r="B44" s="8">
        <v>45554</v>
      </c>
      <c r="C44" t="s">
        <v>28</v>
      </c>
      <c r="D44" t="s">
        <v>130</v>
      </c>
      <c r="E44" t="s">
        <v>61</v>
      </c>
      <c r="F44" t="s">
        <v>53</v>
      </c>
      <c r="G44">
        <v>2</v>
      </c>
      <c r="H44" s="4">
        <v>526685.39</v>
      </c>
      <c r="I44" s="6">
        <f t="shared" si="0"/>
        <v>1053370.78</v>
      </c>
      <c r="J44">
        <v>4</v>
      </c>
      <c r="K44" t="s">
        <v>133</v>
      </c>
    </row>
    <row r="45" spans="1:11" x14ac:dyDescent="0.2">
      <c r="A45">
        <v>44</v>
      </c>
      <c r="B45" s="8">
        <v>45554</v>
      </c>
      <c r="C45" t="s">
        <v>29</v>
      </c>
      <c r="D45" t="s">
        <v>131</v>
      </c>
      <c r="E45" t="s">
        <v>74</v>
      </c>
      <c r="F45" t="s">
        <v>53</v>
      </c>
      <c r="G45">
        <v>12</v>
      </c>
      <c r="H45" s="4">
        <v>657800</v>
      </c>
      <c r="I45" s="6">
        <f t="shared" si="0"/>
        <v>7893600</v>
      </c>
      <c r="J45">
        <v>4</v>
      </c>
      <c r="K45" t="s">
        <v>133</v>
      </c>
    </row>
    <row r="46" spans="1:11" x14ac:dyDescent="0.2">
      <c r="A46">
        <v>45</v>
      </c>
      <c r="B46" s="8">
        <v>45554</v>
      </c>
      <c r="C46" t="s">
        <v>30</v>
      </c>
      <c r="D46" t="s">
        <v>128</v>
      </c>
      <c r="E46" t="s">
        <v>89</v>
      </c>
      <c r="F46" t="s">
        <v>53</v>
      </c>
      <c r="G46">
        <v>1</v>
      </c>
      <c r="H46" s="4">
        <v>179521.28</v>
      </c>
      <c r="I46" s="6">
        <f t="shared" si="0"/>
        <v>179521.28</v>
      </c>
      <c r="J46">
        <v>3</v>
      </c>
      <c r="K46" t="s">
        <v>133</v>
      </c>
    </row>
    <row r="47" spans="1:11" x14ac:dyDescent="0.2">
      <c r="A47">
        <v>46</v>
      </c>
      <c r="B47" s="8">
        <v>45554</v>
      </c>
      <c r="C47" t="s">
        <v>85</v>
      </c>
      <c r="D47" t="s">
        <v>130</v>
      </c>
      <c r="E47" t="s">
        <v>86</v>
      </c>
      <c r="F47" t="s">
        <v>54</v>
      </c>
      <c r="G47">
        <v>12</v>
      </c>
      <c r="H47" s="4">
        <v>3803191.49</v>
      </c>
      <c r="I47" s="6">
        <f t="shared" si="0"/>
        <v>45638297.880000003</v>
      </c>
      <c r="J47">
        <v>21</v>
      </c>
      <c r="K47" t="s">
        <v>132</v>
      </c>
    </row>
    <row r="48" spans="1:11" x14ac:dyDescent="0.2">
      <c r="A48">
        <v>47</v>
      </c>
      <c r="B48" s="8">
        <v>45554</v>
      </c>
      <c r="C48" t="s">
        <v>31</v>
      </c>
      <c r="D48" t="s">
        <v>130</v>
      </c>
      <c r="E48" t="s">
        <v>75</v>
      </c>
      <c r="F48" t="s">
        <v>54</v>
      </c>
      <c r="G48">
        <v>5</v>
      </c>
      <c r="H48" s="4">
        <v>8917948.7200000007</v>
      </c>
      <c r="I48" s="6">
        <f t="shared" si="0"/>
        <v>44589743.600000001</v>
      </c>
      <c r="J48">
        <v>21</v>
      </c>
      <c r="K48" t="s">
        <v>132</v>
      </c>
    </row>
    <row r="49" spans="1:11" x14ac:dyDescent="0.2">
      <c r="A49">
        <v>48</v>
      </c>
      <c r="B49" s="8">
        <v>45554</v>
      </c>
      <c r="C49" t="s">
        <v>32</v>
      </c>
      <c r="D49" t="s">
        <v>131</v>
      </c>
      <c r="E49" t="s">
        <v>74</v>
      </c>
      <c r="F49" t="s">
        <v>53</v>
      </c>
      <c r="G49">
        <v>13</v>
      </c>
      <c r="H49" s="4">
        <v>162703.38</v>
      </c>
      <c r="I49" s="6">
        <f t="shared" si="0"/>
        <v>2115143.94</v>
      </c>
      <c r="J49">
        <v>3</v>
      </c>
      <c r="K49" t="s">
        <v>133</v>
      </c>
    </row>
    <row r="50" spans="1:11" x14ac:dyDescent="0.2">
      <c r="A50">
        <v>49</v>
      </c>
      <c r="B50" s="8">
        <v>45554</v>
      </c>
      <c r="C50" t="s">
        <v>33</v>
      </c>
      <c r="D50" t="s">
        <v>128</v>
      </c>
      <c r="E50" t="s">
        <v>74</v>
      </c>
      <c r="F50" t="s">
        <v>53</v>
      </c>
      <c r="G50">
        <v>1</v>
      </c>
      <c r="H50" s="4">
        <v>5868412.4400000004</v>
      </c>
      <c r="I50" s="6">
        <f t="shared" si="0"/>
        <v>5868412.4400000004</v>
      </c>
      <c r="J50">
        <v>4</v>
      </c>
      <c r="K50" t="s">
        <v>133</v>
      </c>
    </row>
    <row r="51" spans="1:11" x14ac:dyDescent="0.2">
      <c r="A51">
        <v>50</v>
      </c>
      <c r="B51" s="8">
        <v>45554</v>
      </c>
      <c r="C51" t="s">
        <v>34</v>
      </c>
      <c r="D51" t="s">
        <v>128</v>
      </c>
      <c r="E51" t="s">
        <v>74</v>
      </c>
      <c r="F51" t="s">
        <v>53</v>
      </c>
      <c r="G51">
        <v>1</v>
      </c>
      <c r="H51" s="4">
        <v>113892.37</v>
      </c>
      <c r="I51" s="6">
        <f t="shared" si="0"/>
        <v>113892.37</v>
      </c>
      <c r="J51">
        <v>3</v>
      </c>
      <c r="K51" t="s">
        <v>133</v>
      </c>
    </row>
    <row r="52" spans="1:11" x14ac:dyDescent="0.2">
      <c r="A52">
        <v>51</v>
      </c>
      <c r="B52" s="8">
        <v>45554</v>
      </c>
      <c r="C52" t="s">
        <v>35</v>
      </c>
      <c r="D52" t="s">
        <v>128</v>
      </c>
      <c r="E52" t="s">
        <v>89</v>
      </c>
      <c r="F52" t="s">
        <v>53</v>
      </c>
      <c r="G52">
        <v>1</v>
      </c>
      <c r="H52" s="4">
        <v>938673.34</v>
      </c>
      <c r="I52" s="6">
        <f t="shared" si="0"/>
        <v>938673.34</v>
      </c>
      <c r="J52">
        <v>3</v>
      </c>
      <c r="K52" t="s">
        <v>133</v>
      </c>
    </row>
    <row r="53" spans="1:11" x14ac:dyDescent="0.2">
      <c r="A53">
        <v>52</v>
      </c>
      <c r="B53" s="8">
        <v>45554</v>
      </c>
      <c r="C53" t="s">
        <v>36</v>
      </c>
      <c r="D53" t="s">
        <v>126</v>
      </c>
      <c r="E53" t="s">
        <v>59</v>
      </c>
      <c r="F53" t="s">
        <v>53</v>
      </c>
      <c r="G53">
        <v>1</v>
      </c>
      <c r="H53" s="4">
        <v>718398</v>
      </c>
      <c r="I53" s="6">
        <f t="shared" si="0"/>
        <v>718398</v>
      </c>
      <c r="J53">
        <v>2</v>
      </c>
      <c r="K53" t="s">
        <v>133</v>
      </c>
    </row>
    <row r="54" spans="1:11" x14ac:dyDescent="0.2">
      <c r="A54">
        <v>53</v>
      </c>
      <c r="B54" s="8">
        <v>45554</v>
      </c>
      <c r="C54" t="s">
        <v>37</v>
      </c>
      <c r="D54" t="s">
        <v>126</v>
      </c>
      <c r="E54" t="s">
        <v>59</v>
      </c>
      <c r="F54" t="s">
        <v>53</v>
      </c>
      <c r="G54">
        <v>1</v>
      </c>
      <c r="H54" s="4">
        <v>210262.83</v>
      </c>
      <c r="I54" s="6">
        <f t="shared" si="0"/>
        <v>210262.83</v>
      </c>
      <c r="J54">
        <v>2</v>
      </c>
      <c r="K54" t="s">
        <v>133</v>
      </c>
    </row>
    <row r="55" spans="1:11" x14ac:dyDescent="0.2">
      <c r="A55">
        <v>54</v>
      </c>
      <c r="B55" s="8">
        <v>45554</v>
      </c>
      <c r="C55" t="s">
        <v>38</v>
      </c>
      <c r="D55" t="s">
        <v>128</v>
      </c>
      <c r="E55" t="s">
        <v>89</v>
      </c>
      <c r="F55" t="s">
        <v>53</v>
      </c>
      <c r="G55">
        <v>1</v>
      </c>
      <c r="H55" s="4">
        <v>95118.9</v>
      </c>
      <c r="I55" s="6">
        <f t="shared" si="0"/>
        <v>95118.9</v>
      </c>
      <c r="J55">
        <v>3</v>
      </c>
      <c r="K55" t="s">
        <v>133</v>
      </c>
    </row>
    <row r="56" spans="1:11" x14ac:dyDescent="0.2">
      <c r="A56">
        <v>55</v>
      </c>
      <c r="B56" s="8">
        <v>45554</v>
      </c>
      <c r="C56" t="s">
        <v>39</v>
      </c>
      <c r="D56" t="s">
        <v>130</v>
      </c>
      <c r="E56" t="s">
        <v>55</v>
      </c>
      <c r="F56" t="s">
        <v>54</v>
      </c>
      <c r="G56">
        <v>20</v>
      </c>
      <c r="H56" s="4">
        <v>567375.89</v>
      </c>
      <c r="I56" s="6">
        <f t="shared" si="0"/>
        <v>11347517.800000001</v>
      </c>
      <c r="J56">
        <v>21</v>
      </c>
      <c r="K56" t="s">
        <v>133</v>
      </c>
    </row>
    <row r="57" spans="1:11" x14ac:dyDescent="0.2">
      <c r="A57">
        <v>56</v>
      </c>
      <c r="B57" s="8">
        <v>45554</v>
      </c>
      <c r="C57" t="s">
        <v>40</v>
      </c>
      <c r="D57" t="s">
        <v>130</v>
      </c>
      <c r="E57" t="s">
        <v>57</v>
      </c>
      <c r="F57" t="s">
        <v>54</v>
      </c>
      <c r="G57">
        <v>20</v>
      </c>
      <c r="H57" s="4">
        <v>2035324.47</v>
      </c>
      <c r="I57" s="6">
        <f t="shared" si="0"/>
        <v>40706489.399999999</v>
      </c>
      <c r="J57">
        <v>21</v>
      </c>
      <c r="K57" t="s">
        <v>133</v>
      </c>
    </row>
    <row r="58" spans="1:11" x14ac:dyDescent="0.2">
      <c r="A58">
        <v>57</v>
      </c>
      <c r="B58" s="8">
        <v>45554</v>
      </c>
      <c r="C58" t="s">
        <v>41</v>
      </c>
      <c r="D58" t="s">
        <v>130</v>
      </c>
      <c r="E58" t="s">
        <v>58</v>
      </c>
      <c r="F58" t="s">
        <v>54</v>
      </c>
      <c r="G58">
        <v>10</v>
      </c>
      <c r="H58" s="4">
        <v>4211778.49</v>
      </c>
      <c r="I58" s="6">
        <f t="shared" si="0"/>
        <v>42117784.900000006</v>
      </c>
      <c r="J58">
        <v>21</v>
      </c>
      <c r="K58" t="s">
        <v>133</v>
      </c>
    </row>
    <row r="59" spans="1:11" x14ac:dyDescent="0.2">
      <c r="A59">
        <v>58</v>
      </c>
      <c r="B59" s="8">
        <v>45554</v>
      </c>
      <c r="C59" t="s">
        <v>42</v>
      </c>
      <c r="D59" t="s">
        <v>130</v>
      </c>
      <c r="E59" t="s">
        <v>58</v>
      </c>
      <c r="F59" t="s">
        <v>54</v>
      </c>
      <c r="G59">
        <v>10</v>
      </c>
      <c r="H59" s="4">
        <v>469662.92</v>
      </c>
      <c r="I59" s="6">
        <f t="shared" si="0"/>
        <v>4696629.2</v>
      </c>
      <c r="J59">
        <v>21</v>
      </c>
      <c r="K59" t="s">
        <v>133</v>
      </c>
    </row>
    <row r="60" spans="1:11" x14ac:dyDescent="0.2">
      <c r="A60">
        <v>59</v>
      </c>
      <c r="B60" s="8">
        <v>45554</v>
      </c>
      <c r="C60" t="s">
        <v>43</v>
      </c>
      <c r="D60" t="s">
        <v>130</v>
      </c>
      <c r="E60" t="s">
        <v>58</v>
      </c>
      <c r="F60" t="s">
        <v>54</v>
      </c>
      <c r="G60">
        <v>10</v>
      </c>
      <c r="H60" s="4">
        <v>4146818.62</v>
      </c>
      <c r="I60" s="6">
        <f t="shared" si="0"/>
        <v>41468186.200000003</v>
      </c>
      <c r="J60">
        <v>21</v>
      </c>
      <c r="K60" t="s">
        <v>133</v>
      </c>
    </row>
    <row r="61" spans="1:11" x14ac:dyDescent="0.2">
      <c r="A61">
        <v>60</v>
      </c>
      <c r="B61" s="8">
        <v>45554</v>
      </c>
      <c r="C61" t="s">
        <v>44</v>
      </c>
      <c r="D61" t="s">
        <v>126</v>
      </c>
      <c r="E61" t="s">
        <v>59</v>
      </c>
      <c r="F61" t="s">
        <v>53</v>
      </c>
      <c r="G61">
        <v>1</v>
      </c>
      <c r="H61" s="4">
        <v>132978.72</v>
      </c>
      <c r="I61" s="6">
        <f t="shared" si="0"/>
        <v>132978.72</v>
      </c>
      <c r="J61">
        <v>2</v>
      </c>
      <c r="K61" t="s">
        <v>133</v>
      </c>
    </row>
    <row r="62" spans="1:11" x14ac:dyDescent="0.2">
      <c r="A62">
        <v>61</v>
      </c>
      <c r="B62" s="8">
        <v>45554</v>
      </c>
      <c r="C62" t="s">
        <v>45</v>
      </c>
      <c r="D62" t="s">
        <v>126</v>
      </c>
      <c r="E62" t="s">
        <v>107</v>
      </c>
      <c r="F62" t="s">
        <v>53</v>
      </c>
      <c r="G62">
        <v>2</v>
      </c>
      <c r="H62" s="4">
        <v>279255.32</v>
      </c>
      <c r="I62" s="6">
        <f t="shared" si="0"/>
        <v>558510.64</v>
      </c>
      <c r="J62">
        <v>3</v>
      </c>
      <c r="K62" t="s">
        <v>132</v>
      </c>
    </row>
    <row r="63" spans="1:11" x14ac:dyDescent="0.2">
      <c r="A63">
        <v>62</v>
      </c>
      <c r="B63" s="8">
        <v>45554</v>
      </c>
      <c r="C63" t="s">
        <v>46</v>
      </c>
      <c r="D63" t="s">
        <v>130</v>
      </c>
      <c r="E63" t="s">
        <v>55</v>
      </c>
      <c r="F63" t="s">
        <v>54</v>
      </c>
      <c r="G63">
        <v>2</v>
      </c>
      <c r="H63" s="4">
        <v>2489361.7000000002</v>
      </c>
      <c r="I63" s="6">
        <f t="shared" si="0"/>
        <v>4978723.4000000004</v>
      </c>
      <c r="J63">
        <v>21</v>
      </c>
      <c r="K63" t="s">
        <v>132</v>
      </c>
    </row>
    <row r="64" spans="1:11" x14ac:dyDescent="0.2">
      <c r="A64">
        <v>63</v>
      </c>
      <c r="B64" s="8">
        <v>45554</v>
      </c>
      <c r="C64" t="s">
        <v>47</v>
      </c>
      <c r="D64" t="s">
        <v>130</v>
      </c>
      <c r="E64" t="s">
        <v>55</v>
      </c>
      <c r="F64" t="s">
        <v>54</v>
      </c>
      <c r="G64">
        <v>20</v>
      </c>
      <c r="H64" s="4">
        <v>364741.64</v>
      </c>
      <c r="I64" s="6">
        <f t="shared" si="0"/>
        <v>7294832.8000000007</v>
      </c>
      <c r="J64">
        <v>21</v>
      </c>
      <c r="K64" t="s">
        <v>132</v>
      </c>
    </row>
    <row r="65" spans="1:11" x14ac:dyDescent="0.2">
      <c r="A65">
        <v>64</v>
      </c>
      <c r="B65" s="8">
        <v>45554</v>
      </c>
      <c r="C65" t="s">
        <v>48</v>
      </c>
      <c r="D65" t="s">
        <v>130</v>
      </c>
      <c r="E65" t="s">
        <v>55</v>
      </c>
      <c r="F65" t="s">
        <v>54</v>
      </c>
      <c r="G65">
        <v>12</v>
      </c>
      <c r="H65" s="4">
        <v>10055319.15</v>
      </c>
      <c r="I65" s="6">
        <f t="shared" si="0"/>
        <v>120663829.80000001</v>
      </c>
      <c r="J65">
        <v>21</v>
      </c>
      <c r="K65" t="s">
        <v>132</v>
      </c>
    </row>
    <row r="66" spans="1:11" x14ac:dyDescent="0.2">
      <c r="A66">
        <v>65</v>
      </c>
      <c r="B66" s="8">
        <v>45554</v>
      </c>
      <c r="C66" t="s">
        <v>26</v>
      </c>
      <c r="D66" t="s">
        <v>130</v>
      </c>
      <c r="E66" t="s">
        <v>56</v>
      </c>
      <c r="F66" t="s">
        <v>54</v>
      </c>
      <c r="G66">
        <v>12</v>
      </c>
      <c r="H66" s="4">
        <v>5276595.74</v>
      </c>
      <c r="I66" s="6">
        <f t="shared" si="0"/>
        <v>63319148.880000003</v>
      </c>
      <c r="J66">
        <v>21</v>
      </c>
      <c r="K66" t="s">
        <v>133</v>
      </c>
    </row>
    <row r="67" spans="1:11" x14ac:dyDescent="0.2">
      <c r="A67">
        <v>66</v>
      </c>
      <c r="B67" s="8">
        <v>45646</v>
      </c>
      <c r="C67" t="s">
        <v>27</v>
      </c>
      <c r="D67" t="s">
        <v>130</v>
      </c>
      <c r="E67" t="s">
        <v>56</v>
      </c>
      <c r="F67" t="s">
        <v>54</v>
      </c>
      <c r="G67">
        <v>12</v>
      </c>
      <c r="H67" s="4">
        <v>425531.91</v>
      </c>
      <c r="I67" s="6">
        <f t="shared" ref="I67:I101" si="1">H67*G67</f>
        <v>5106382.92</v>
      </c>
      <c r="J67">
        <v>21</v>
      </c>
      <c r="K67" t="s">
        <v>133</v>
      </c>
    </row>
    <row r="68" spans="1:11" x14ac:dyDescent="0.2">
      <c r="A68">
        <v>67</v>
      </c>
      <c r="B68" s="8">
        <v>45646</v>
      </c>
      <c r="C68" t="s">
        <v>28</v>
      </c>
      <c r="D68" t="s">
        <v>130</v>
      </c>
      <c r="E68" t="s">
        <v>60</v>
      </c>
      <c r="F68" t="s">
        <v>54</v>
      </c>
      <c r="G68">
        <v>12</v>
      </c>
      <c r="H68" s="4">
        <v>526685.39</v>
      </c>
      <c r="I68" s="6">
        <f t="shared" si="1"/>
        <v>6320224.6799999997</v>
      </c>
      <c r="J68">
        <v>21</v>
      </c>
      <c r="K68" t="s">
        <v>132</v>
      </c>
    </row>
    <row r="69" spans="1:11" x14ac:dyDescent="0.2">
      <c r="A69">
        <v>68</v>
      </c>
      <c r="B69" s="8">
        <v>45646</v>
      </c>
      <c r="C69" t="s">
        <v>49</v>
      </c>
      <c r="D69" t="s">
        <v>130</v>
      </c>
      <c r="E69" t="s">
        <v>56</v>
      </c>
      <c r="F69" t="s">
        <v>54</v>
      </c>
      <c r="G69">
        <v>10</v>
      </c>
      <c r="H69" s="4">
        <v>638297.87</v>
      </c>
      <c r="I69" s="6">
        <f t="shared" si="1"/>
        <v>6382978.7000000002</v>
      </c>
      <c r="J69">
        <v>21</v>
      </c>
      <c r="K69" t="s">
        <v>133</v>
      </c>
    </row>
    <row r="70" spans="1:11" x14ac:dyDescent="0.2">
      <c r="A70">
        <v>69</v>
      </c>
      <c r="B70" s="8">
        <v>45646</v>
      </c>
      <c r="C70" t="s">
        <v>50</v>
      </c>
      <c r="D70" t="s">
        <v>130</v>
      </c>
      <c r="E70" t="s">
        <v>61</v>
      </c>
      <c r="F70" t="s">
        <v>53</v>
      </c>
      <c r="G70">
        <v>12</v>
      </c>
      <c r="H70" s="4">
        <v>602836.88</v>
      </c>
      <c r="I70" s="6">
        <f t="shared" si="1"/>
        <v>7234042.5600000005</v>
      </c>
      <c r="J70">
        <v>4</v>
      </c>
      <c r="K70" t="s">
        <v>133</v>
      </c>
    </row>
    <row r="71" spans="1:11" x14ac:dyDescent="0.2">
      <c r="A71">
        <v>70</v>
      </c>
      <c r="B71" s="8">
        <v>45646</v>
      </c>
      <c r="C71" t="s">
        <v>51</v>
      </c>
      <c r="D71" t="s">
        <v>130</v>
      </c>
      <c r="E71" t="s">
        <v>61</v>
      </c>
      <c r="F71" t="s">
        <v>53</v>
      </c>
      <c r="G71">
        <v>2</v>
      </c>
      <c r="H71" s="4">
        <v>260000</v>
      </c>
      <c r="I71" s="6">
        <f t="shared" si="1"/>
        <v>520000</v>
      </c>
      <c r="J71">
        <v>4</v>
      </c>
      <c r="K71" t="s">
        <v>133</v>
      </c>
    </row>
    <row r="72" spans="1:11" x14ac:dyDescent="0.2">
      <c r="A72">
        <v>71</v>
      </c>
      <c r="B72" s="8">
        <v>45646</v>
      </c>
      <c r="C72" t="s">
        <v>62</v>
      </c>
      <c r="D72" t="s">
        <v>130</v>
      </c>
      <c r="E72" t="s">
        <v>61</v>
      </c>
      <c r="F72" t="s">
        <v>53</v>
      </c>
      <c r="G72">
        <v>1</v>
      </c>
      <c r="H72" s="4">
        <v>12403787.23</v>
      </c>
      <c r="I72" s="6">
        <f t="shared" si="1"/>
        <v>12403787.23</v>
      </c>
      <c r="J72">
        <v>4</v>
      </c>
      <c r="K72" t="s">
        <v>133</v>
      </c>
    </row>
    <row r="73" spans="1:11" x14ac:dyDescent="0.2">
      <c r="A73">
        <v>72</v>
      </c>
      <c r="B73" s="8">
        <v>45646</v>
      </c>
      <c r="C73" t="s">
        <v>63</v>
      </c>
      <c r="D73" t="s">
        <v>130</v>
      </c>
      <c r="E73" t="s">
        <v>64</v>
      </c>
      <c r="F73" t="s">
        <v>54</v>
      </c>
      <c r="G73" s="3">
        <v>3</v>
      </c>
      <c r="H73" s="4">
        <v>11787234.039999999</v>
      </c>
      <c r="I73" s="6">
        <f t="shared" si="1"/>
        <v>35361702.119999997</v>
      </c>
      <c r="J73">
        <v>21</v>
      </c>
      <c r="K73" t="s">
        <v>133</v>
      </c>
    </row>
    <row r="74" spans="1:11" x14ac:dyDescent="0.2">
      <c r="A74">
        <v>73</v>
      </c>
      <c r="B74" s="8">
        <v>45646</v>
      </c>
      <c r="C74" t="s">
        <v>65</v>
      </c>
      <c r="D74" t="s">
        <v>130</v>
      </c>
      <c r="E74" t="s">
        <v>66</v>
      </c>
      <c r="F74" t="s">
        <v>54</v>
      </c>
      <c r="G74">
        <v>4</v>
      </c>
      <c r="H74" s="4">
        <v>2020008.51</v>
      </c>
      <c r="I74" s="6">
        <f t="shared" si="1"/>
        <v>8080034.04</v>
      </c>
      <c r="J74">
        <v>21</v>
      </c>
      <c r="K74" t="s">
        <v>133</v>
      </c>
    </row>
    <row r="75" spans="1:11" x14ac:dyDescent="0.2">
      <c r="A75">
        <v>74</v>
      </c>
      <c r="B75" s="8">
        <v>45646</v>
      </c>
      <c r="C75" t="s">
        <v>67</v>
      </c>
      <c r="D75" t="s">
        <v>130</v>
      </c>
      <c r="E75" t="s">
        <v>66</v>
      </c>
      <c r="F75" t="s">
        <v>54</v>
      </c>
      <c r="G75">
        <v>4</v>
      </c>
      <c r="H75" s="4">
        <v>443263.83</v>
      </c>
      <c r="I75" s="6">
        <f t="shared" si="1"/>
        <v>1773055.32</v>
      </c>
      <c r="J75">
        <v>21</v>
      </c>
      <c r="K75" t="s">
        <v>133</v>
      </c>
    </row>
    <row r="76" spans="1:11" x14ac:dyDescent="0.2">
      <c r="A76">
        <v>75</v>
      </c>
      <c r="B76" s="8">
        <v>45646</v>
      </c>
      <c r="C76" t="s">
        <v>68</v>
      </c>
      <c r="D76" t="s">
        <v>130</v>
      </c>
      <c r="E76" t="s">
        <v>69</v>
      </c>
      <c r="F76" t="s">
        <v>54</v>
      </c>
      <c r="G76">
        <v>8</v>
      </c>
      <c r="H76" s="4">
        <v>171520.55</v>
      </c>
      <c r="I76" s="6">
        <f t="shared" si="1"/>
        <v>1372164.4</v>
      </c>
      <c r="J76">
        <v>21</v>
      </c>
      <c r="K76" t="s">
        <v>133</v>
      </c>
    </row>
    <row r="77" spans="1:11" x14ac:dyDescent="0.2">
      <c r="A77">
        <v>76</v>
      </c>
      <c r="B77" s="8">
        <v>45646</v>
      </c>
      <c r="C77" t="s">
        <v>68</v>
      </c>
      <c r="D77" t="s">
        <v>130</v>
      </c>
      <c r="E77" t="s">
        <v>66</v>
      </c>
      <c r="F77" t="s">
        <v>54</v>
      </c>
      <c r="G77">
        <v>8</v>
      </c>
      <c r="H77" s="4">
        <v>470298.27</v>
      </c>
      <c r="I77" s="6">
        <f t="shared" si="1"/>
        <v>3762386.16</v>
      </c>
      <c r="J77">
        <v>21</v>
      </c>
      <c r="K77" t="s">
        <v>133</v>
      </c>
    </row>
    <row r="78" spans="1:11" x14ac:dyDescent="0.2">
      <c r="A78">
        <v>77</v>
      </c>
      <c r="B78" s="8">
        <v>45646</v>
      </c>
      <c r="C78" t="s">
        <v>70</v>
      </c>
      <c r="D78" t="s">
        <v>130</v>
      </c>
      <c r="E78" t="s">
        <v>71</v>
      </c>
      <c r="F78" t="s">
        <v>54</v>
      </c>
      <c r="G78">
        <v>10</v>
      </c>
      <c r="H78" s="4">
        <v>638297.87</v>
      </c>
      <c r="I78" s="6">
        <f t="shared" si="1"/>
        <v>6382978.7000000002</v>
      </c>
      <c r="J78">
        <v>21</v>
      </c>
      <c r="K78" t="s">
        <v>133</v>
      </c>
    </row>
    <row r="79" spans="1:11" x14ac:dyDescent="0.2">
      <c r="A79">
        <v>78</v>
      </c>
      <c r="B79" s="8">
        <v>45646</v>
      </c>
      <c r="C79" t="s">
        <v>134</v>
      </c>
      <c r="D79" t="s">
        <v>130</v>
      </c>
      <c r="E79" t="s">
        <v>72</v>
      </c>
      <c r="F79" t="s">
        <v>54</v>
      </c>
      <c r="G79">
        <v>12</v>
      </c>
      <c r="H79" s="4">
        <v>797872.34</v>
      </c>
      <c r="I79" s="6">
        <f t="shared" si="1"/>
        <v>9574468.0800000001</v>
      </c>
      <c r="J79">
        <v>21</v>
      </c>
      <c r="K79" t="s">
        <v>133</v>
      </c>
    </row>
    <row r="80" spans="1:11" x14ac:dyDescent="0.2">
      <c r="A80">
        <v>79</v>
      </c>
      <c r="B80" s="8">
        <v>45646</v>
      </c>
      <c r="C80" t="s">
        <v>73</v>
      </c>
      <c r="D80" t="s">
        <v>131</v>
      </c>
      <c r="E80" t="s">
        <v>74</v>
      </c>
      <c r="F80" t="s">
        <v>53</v>
      </c>
      <c r="G80">
        <v>2</v>
      </c>
      <c r="H80" s="4">
        <v>106382.98</v>
      </c>
      <c r="I80" s="6">
        <f t="shared" si="1"/>
        <v>212765.96</v>
      </c>
      <c r="J80">
        <v>3</v>
      </c>
      <c r="K80" t="s">
        <v>133</v>
      </c>
    </row>
    <row r="81" spans="1:11" x14ac:dyDescent="0.2">
      <c r="A81">
        <v>80</v>
      </c>
      <c r="B81" s="8">
        <v>45646</v>
      </c>
      <c r="C81" t="s">
        <v>29</v>
      </c>
      <c r="D81" t="s">
        <v>131</v>
      </c>
      <c r="E81" t="s">
        <v>74</v>
      </c>
      <c r="F81" t="s">
        <v>53</v>
      </c>
      <c r="G81">
        <v>10</v>
      </c>
      <c r="H81" s="4">
        <v>81351.69</v>
      </c>
      <c r="I81" s="6">
        <f t="shared" si="1"/>
        <v>813516.9</v>
      </c>
      <c r="J81">
        <v>3</v>
      </c>
      <c r="K81" t="s">
        <v>133</v>
      </c>
    </row>
    <row r="82" spans="1:11" x14ac:dyDescent="0.2">
      <c r="A82">
        <v>81</v>
      </c>
      <c r="B82" s="8">
        <v>45646</v>
      </c>
      <c r="C82" t="s">
        <v>76</v>
      </c>
      <c r="D82" t="s">
        <v>130</v>
      </c>
      <c r="E82" t="s">
        <v>55</v>
      </c>
      <c r="F82" t="s">
        <v>54</v>
      </c>
      <c r="G82">
        <v>1</v>
      </c>
      <c r="H82" s="4">
        <v>382978.72</v>
      </c>
      <c r="I82" s="6">
        <f t="shared" si="1"/>
        <v>382978.72</v>
      </c>
      <c r="J82">
        <v>21</v>
      </c>
      <c r="K82" t="s">
        <v>133</v>
      </c>
    </row>
    <row r="83" spans="1:11" x14ac:dyDescent="0.2">
      <c r="A83">
        <v>82</v>
      </c>
      <c r="B83" s="8">
        <v>45646</v>
      </c>
      <c r="C83" t="s">
        <v>77</v>
      </c>
      <c r="D83" t="s">
        <v>130</v>
      </c>
      <c r="E83" t="s">
        <v>78</v>
      </c>
      <c r="F83" t="s">
        <v>54</v>
      </c>
      <c r="G83">
        <v>1</v>
      </c>
      <c r="H83" s="4">
        <v>1914893.62</v>
      </c>
      <c r="I83" s="6">
        <f t="shared" si="1"/>
        <v>1914893.62</v>
      </c>
      <c r="J83">
        <v>21</v>
      </c>
      <c r="K83" t="s">
        <v>133</v>
      </c>
    </row>
    <row r="84" spans="1:11" x14ac:dyDescent="0.2">
      <c r="A84">
        <v>83</v>
      </c>
      <c r="B84" s="8">
        <v>45646</v>
      </c>
      <c r="C84" t="s">
        <v>79</v>
      </c>
      <c r="D84" t="s">
        <v>130</v>
      </c>
      <c r="E84" t="s">
        <v>80</v>
      </c>
      <c r="F84" t="s">
        <v>54</v>
      </c>
      <c r="G84">
        <v>10</v>
      </c>
      <c r="H84" s="4">
        <v>765957.45</v>
      </c>
      <c r="I84" s="6">
        <f t="shared" si="1"/>
        <v>7659574.5</v>
      </c>
      <c r="J84">
        <v>21</v>
      </c>
      <c r="K84" t="s">
        <v>132</v>
      </c>
    </row>
    <row r="85" spans="1:11" x14ac:dyDescent="0.2">
      <c r="A85">
        <v>84</v>
      </c>
      <c r="B85" s="8">
        <v>45646</v>
      </c>
      <c r="C85" t="s">
        <v>81</v>
      </c>
      <c r="D85" t="s">
        <v>130</v>
      </c>
      <c r="E85" t="s">
        <v>82</v>
      </c>
      <c r="F85" t="s">
        <v>54</v>
      </c>
      <c r="G85">
        <v>6</v>
      </c>
      <c r="H85" s="4">
        <v>22739361.699999999</v>
      </c>
      <c r="I85" s="6">
        <f t="shared" si="1"/>
        <v>136436170.19999999</v>
      </c>
      <c r="J85">
        <v>21</v>
      </c>
      <c r="K85" t="s">
        <v>132</v>
      </c>
    </row>
    <row r="86" spans="1:11" x14ac:dyDescent="0.2">
      <c r="A86">
        <v>85</v>
      </c>
      <c r="B86" s="8">
        <v>45646</v>
      </c>
      <c r="C86" t="s">
        <v>83</v>
      </c>
      <c r="D86" t="s">
        <v>130</v>
      </c>
      <c r="E86" t="s">
        <v>84</v>
      </c>
      <c r="F86" t="s">
        <v>54</v>
      </c>
      <c r="G86">
        <v>1</v>
      </c>
      <c r="H86" s="4">
        <v>70391117.019999996</v>
      </c>
      <c r="I86" s="6">
        <f t="shared" si="1"/>
        <v>70391117.019999996</v>
      </c>
      <c r="J86">
        <v>21</v>
      </c>
      <c r="K86" t="s">
        <v>132</v>
      </c>
    </row>
    <row r="87" spans="1:11" x14ac:dyDescent="0.2">
      <c r="A87">
        <v>86</v>
      </c>
      <c r="B87" s="8">
        <v>45646</v>
      </c>
      <c r="C87" t="s">
        <v>87</v>
      </c>
      <c r="D87" t="s">
        <v>130</v>
      </c>
      <c r="E87" t="s">
        <v>88</v>
      </c>
      <c r="F87" t="s">
        <v>54</v>
      </c>
      <c r="G87">
        <v>10</v>
      </c>
      <c r="H87" s="4">
        <v>7978723.4000000004</v>
      </c>
      <c r="I87" s="6">
        <f t="shared" si="1"/>
        <v>79787234</v>
      </c>
      <c r="J87">
        <v>21</v>
      </c>
      <c r="K87" t="s">
        <v>132</v>
      </c>
    </row>
    <row r="88" spans="1:11" x14ac:dyDescent="0.2">
      <c r="A88">
        <v>87</v>
      </c>
      <c r="B88" s="8">
        <v>45646</v>
      </c>
      <c r="C88" t="s">
        <v>18</v>
      </c>
      <c r="D88" t="s">
        <v>128</v>
      </c>
      <c r="E88" t="s">
        <v>89</v>
      </c>
      <c r="F88" t="s">
        <v>53</v>
      </c>
      <c r="G88">
        <v>2</v>
      </c>
      <c r="H88" s="4">
        <v>179521.28</v>
      </c>
      <c r="I88" s="6">
        <f t="shared" si="1"/>
        <v>359042.56</v>
      </c>
      <c r="J88">
        <v>2</v>
      </c>
      <c r="K88" t="s">
        <v>133</v>
      </c>
    </row>
    <row r="89" spans="1:11" x14ac:dyDescent="0.2">
      <c r="A89">
        <v>88</v>
      </c>
      <c r="B89" s="8">
        <v>45646</v>
      </c>
      <c r="C89" t="s">
        <v>22</v>
      </c>
      <c r="D89" t="s">
        <v>130</v>
      </c>
      <c r="E89" t="s">
        <v>122</v>
      </c>
      <c r="F89" t="s">
        <v>53</v>
      </c>
      <c r="G89">
        <v>50</v>
      </c>
      <c r="H89" s="4">
        <v>878600</v>
      </c>
      <c r="I89" s="6">
        <f t="shared" si="1"/>
        <v>43930000</v>
      </c>
      <c r="J89">
        <v>4</v>
      </c>
      <c r="K89" t="s">
        <v>132</v>
      </c>
    </row>
    <row r="90" spans="1:11" x14ac:dyDescent="0.2">
      <c r="A90">
        <v>89</v>
      </c>
      <c r="B90" s="8">
        <v>45646</v>
      </c>
      <c r="C90" t="s">
        <v>90</v>
      </c>
      <c r="D90" t="s">
        <v>126</v>
      </c>
      <c r="E90" t="s">
        <v>75</v>
      </c>
      <c r="F90" t="s">
        <v>54</v>
      </c>
      <c r="G90">
        <v>1</v>
      </c>
      <c r="H90" s="4">
        <v>14643304.130000001</v>
      </c>
      <c r="I90" s="6">
        <f t="shared" si="1"/>
        <v>14643304.130000001</v>
      </c>
      <c r="J90">
        <v>21</v>
      </c>
      <c r="K90" t="s">
        <v>132</v>
      </c>
    </row>
    <row r="91" spans="1:11" x14ac:dyDescent="0.2">
      <c r="A91">
        <v>90</v>
      </c>
      <c r="B91" s="8">
        <v>45646</v>
      </c>
      <c r="C91" t="s">
        <v>91</v>
      </c>
      <c r="D91" t="s">
        <v>131</v>
      </c>
      <c r="E91" t="s">
        <v>92</v>
      </c>
      <c r="F91" t="s">
        <v>53</v>
      </c>
      <c r="G91">
        <v>4</v>
      </c>
      <c r="H91" s="4">
        <v>87609.51</v>
      </c>
      <c r="I91" s="6">
        <f t="shared" si="1"/>
        <v>350438.04</v>
      </c>
      <c r="J91">
        <v>4</v>
      </c>
      <c r="K91" t="s">
        <v>133</v>
      </c>
    </row>
    <row r="92" spans="1:11" x14ac:dyDescent="0.2">
      <c r="A92">
        <v>91</v>
      </c>
      <c r="B92" s="8">
        <v>45646</v>
      </c>
      <c r="C92" t="s">
        <v>73</v>
      </c>
      <c r="D92" t="s">
        <v>131</v>
      </c>
      <c r="E92" t="s">
        <v>74</v>
      </c>
      <c r="F92" t="s">
        <v>53</v>
      </c>
      <c r="G92">
        <v>4</v>
      </c>
      <c r="H92" s="4">
        <v>106382.98</v>
      </c>
      <c r="I92" s="6">
        <f t="shared" si="1"/>
        <v>425531.92</v>
      </c>
      <c r="J92">
        <v>4</v>
      </c>
      <c r="K92" t="s">
        <v>133</v>
      </c>
    </row>
    <row r="93" spans="1:11" x14ac:dyDescent="0.2">
      <c r="A93">
        <v>92</v>
      </c>
      <c r="B93" s="8">
        <v>45646</v>
      </c>
      <c r="C93" t="s">
        <v>29</v>
      </c>
      <c r="D93" t="s">
        <v>131</v>
      </c>
      <c r="E93" t="s">
        <v>74</v>
      </c>
      <c r="F93" t="s">
        <v>53</v>
      </c>
      <c r="G93">
        <v>4</v>
      </c>
      <c r="H93" s="4">
        <v>81351.69</v>
      </c>
      <c r="I93" s="6">
        <f t="shared" si="1"/>
        <v>325406.76</v>
      </c>
      <c r="J93">
        <v>4</v>
      </c>
      <c r="K93" t="s">
        <v>133</v>
      </c>
    </row>
    <row r="94" spans="1:11" x14ac:dyDescent="0.2">
      <c r="A94">
        <v>93</v>
      </c>
      <c r="B94" s="8">
        <v>46000</v>
      </c>
      <c r="C94" t="s">
        <v>93</v>
      </c>
      <c r="D94" t="s">
        <v>131</v>
      </c>
      <c r="E94" t="s">
        <v>74</v>
      </c>
      <c r="F94" t="s">
        <v>53</v>
      </c>
      <c r="G94">
        <v>450</v>
      </c>
      <c r="H94" s="4">
        <v>8800</v>
      </c>
      <c r="I94" s="6">
        <f t="shared" si="1"/>
        <v>3960000</v>
      </c>
      <c r="J94">
        <v>4</v>
      </c>
      <c r="K94" t="s">
        <v>133</v>
      </c>
    </row>
    <row r="95" spans="1:11" x14ac:dyDescent="0.2">
      <c r="A95">
        <v>94</v>
      </c>
      <c r="B95" s="8">
        <v>46000</v>
      </c>
      <c r="C95" t="s">
        <v>94</v>
      </c>
      <c r="D95" t="s">
        <v>131</v>
      </c>
      <c r="E95" t="s">
        <v>74</v>
      </c>
      <c r="F95" t="s">
        <v>53</v>
      </c>
      <c r="G95">
        <v>2</v>
      </c>
      <c r="H95" s="4">
        <v>350000</v>
      </c>
      <c r="I95" s="6">
        <f t="shared" si="1"/>
        <v>700000</v>
      </c>
      <c r="J95">
        <v>4</v>
      </c>
      <c r="K95" t="s">
        <v>133</v>
      </c>
    </row>
    <row r="96" spans="1:11" x14ac:dyDescent="0.2">
      <c r="A96">
        <v>95</v>
      </c>
      <c r="B96" s="8">
        <v>46000</v>
      </c>
      <c r="C96" t="s">
        <v>95</v>
      </c>
      <c r="D96" t="s">
        <v>131</v>
      </c>
      <c r="E96" t="s">
        <v>74</v>
      </c>
      <c r="F96" t="s">
        <v>53</v>
      </c>
      <c r="G96">
        <v>3</v>
      </c>
      <c r="H96" s="4">
        <v>25000</v>
      </c>
      <c r="I96" s="6">
        <f t="shared" si="1"/>
        <v>75000</v>
      </c>
      <c r="J96">
        <v>4</v>
      </c>
      <c r="K96" t="s">
        <v>133</v>
      </c>
    </row>
    <row r="97" spans="1:11" x14ac:dyDescent="0.2">
      <c r="A97">
        <v>96</v>
      </c>
      <c r="B97" s="8">
        <v>46000</v>
      </c>
      <c r="C97" t="s">
        <v>96</v>
      </c>
      <c r="D97" t="s">
        <v>131</v>
      </c>
      <c r="E97" t="s">
        <v>74</v>
      </c>
      <c r="F97" t="s">
        <v>53</v>
      </c>
      <c r="G97">
        <v>9</v>
      </c>
      <c r="H97" s="4">
        <v>22500</v>
      </c>
      <c r="I97" s="6">
        <f t="shared" si="1"/>
        <v>202500</v>
      </c>
      <c r="J97">
        <v>4</v>
      </c>
      <c r="K97" t="s">
        <v>133</v>
      </c>
    </row>
    <row r="98" spans="1:11" x14ac:dyDescent="0.2">
      <c r="A98">
        <v>97</v>
      </c>
      <c r="B98" s="8">
        <v>46000</v>
      </c>
      <c r="C98" t="s">
        <v>97</v>
      </c>
      <c r="D98" t="s">
        <v>123</v>
      </c>
      <c r="E98" t="s">
        <v>74</v>
      </c>
      <c r="F98" t="s">
        <v>53</v>
      </c>
      <c r="G98">
        <v>8</v>
      </c>
      <c r="H98" s="4">
        <v>9261.58</v>
      </c>
      <c r="I98" s="6">
        <f t="shared" si="1"/>
        <v>74092.639999999999</v>
      </c>
      <c r="J98">
        <v>4</v>
      </c>
      <c r="K98" t="s">
        <v>133</v>
      </c>
    </row>
    <row r="99" spans="1:11" x14ac:dyDescent="0.2">
      <c r="A99">
        <v>98</v>
      </c>
      <c r="B99" s="8">
        <v>46000</v>
      </c>
      <c r="C99" t="s">
        <v>98</v>
      </c>
      <c r="D99" t="s">
        <v>126</v>
      </c>
      <c r="E99" t="s">
        <v>99</v>
      </c>
      <c r="F99" t="s">
        <v>53</v>
      </c>
      <c r="G99">
        <v>4</v>
      </c>
      <c r="H99" s="4">
        <v>202127.66</v>
      </c>
      <c r="I99" s="6">
        <f t="shared" si="1"/>
        <v>808510.64</v>
      </c>
      <c r="J99">
        <v>2</v>
      </c>
      <c r="K99" t="s">
        <v>133</v>
      </c>
    </row>
    <row r="100" spans="1:11" x14ac:dyDescent="0.2">
      <c r="A100">
        <v>99</v>
      </c>
      <c r="B100" s="8">
        <v>46000</v>
      </c>
      <c r="C100" t="s">
        <v>100</v>
      </c>
      <c r="D100" t="s">
        <v>130</v>
      </c>
      <c r="E100" t="s">
        <v>122</v>
      </c>
      <c r="F100" t="s">
        <v>53</v>
      </c>
      <c r="G100">
        <v>1</v>
      </c>
      <c r="H100" s="4">
        <v>20021276.600000001</v>
      </c>
      <c r="I100" s="6">
        <f t="shared" si="1"/>
        <v>20021276.600000001</v>
      </c>
      <c r="J100">
        <v>4</v>
      </c>
      <c r="K100" t="s">
        <v>132</v>
      </c>
    </row>
    <row r="101" spans="1:11" x14ac:dyDescent="0.2">
      <c r="A101">
        <v>100</v>
      </c>
      <c r="B101" s="8">
        <v>46062</v>
      </c>
      <c r="C101" t="s">
        <v>15</v>
      </c>
      <c r="D101" t="s">
        <v>123</v>
      </c>
      <c r="E101" t="s">
        <v>74</v>
      </c>
      <c r="F101" t="s">
        <v>53</v>
      </c>
      <c r="G101">
        <v>100</v>
      </c>
      <c r="H101" s="4">
        <v>25999</v>
      </c>
      <c r="I101" s="6">
        <f t="shared" si="1"/>
        <v>2599900</v>
      </c>
      <c r="J101">
        <v>4</v>
      </c>
      <c r="K101" t="s">
        <v>132</v>
      </c>
    </row>
    <row r="102" spans="1:11" x14ac:dyDescent="0.2">
      <c r="B102" s="8"/>
    </row>
    <row r="103" spans="1:11" x14ac:dyDescent="0.2">
      <c r="B103" s="8"/>
    </row>
    <row r="104" spans="1:11" x14ac:dyDescent="0.2">
      <c r="B104" s="8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Aizehinomon Oniha</dc:creator>
  <cp:lastModifiedBy>Aizehinomon Oniha</cp:lastModifiedBy>
  <dcterms:created xsi:type="dcterms:W3CDTF">2026-05-04T13:52:32Z</dcterms:created>
  <dcterms:modified xsi:type="dcterms:W3CDTF">2026-05-05T19:35:18Z</dcterms:modified>
</cp:coreProperties>
</file>